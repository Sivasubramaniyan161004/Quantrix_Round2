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va\Desktop\"/>
    </mc:Choice>
  </mc:AlternateContent>
  <xr:revisionPtr revIDLastSave="0" documentId="13_ncr:1_{B0F0AEF9-3074-4DF8-B956-C3742E5B4C0E}" xr6:coauthVersionLast="47" xr6:coauthVersionMax="47" xr10:uidLastSave="{00000000-0000-0000-0000-000000000000}"/>
  <bookViews>
    <workbookView xWindow="-108" yWindow="-108" windowWidth="23256" windowHeight="12456" xr2:uid="{CF078D8D-BE10-4DF6-9E2E-C0BE62046A98}"/>
  </bookViews>
  <sheets>
    <sheet name="Final Drivers" sheetId="2" r:id="rId1"/>
    <sheet name="Impact Score" sheetId="3" r:id="rId2"/>
    <sheet name="Revenue Lost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<sst xmlns="http://schemas.openxmlformats.org/spreadsheetml/2006/main" count="217" uniqueCount="109">
  <si>
    <t>Hotel</t>
  </si>
  <si>
    <t>Total Potential Revenue</t>
  </si>
  <si>
    <t>Revenue Lost</t>
  </si>
  <si>
    <t>Loss %</t>
  </si>
  <si>
    <t>City Hotel</t>
  </si>
  <si>
    <t>Resort Hotel</t>
  </si>
  <si>
    <t>Deposit Type</t>
  </si>
  <si>
    <t>Non Refund</t>
  </si>
  <si>
    <t>Refundable</t>
  </si>
  <si>
    <t>No Deposit</t>
  </si>
  <si>
    <t>Market Segment</t>
  </si>
  <si>
    <t>Groups</t>
  </si>
  <si>
    <t>Online TA</t>
  </si>
  <si>
    <t>Refundable/Offline TA/TO</t>
  </si>
  <si>
    <t>Corporate</t>
  </si>
  <si>
    <t>Direct</t>
  </si>
  <si>
    <t>Aviation</t>
  </si>
  <si>
    <t>Complementary</t>
  </si>
  <si>
    <t>Distribution Channel</t>
  </si>
  <si>
    <t>TA/TO</t>
  </si>
  <si>
    <t>GDS</t>
  </si>
  <si>
    <t>Customer Type</t>
  </si>
  <si>
    <t>Transient</t>
  </si>
  <si>
    <t>Transient-Party</t>
  </si>
  <si>
    <t>Contract</t>
  </si>
  <si>
    <t>Group</t>
  </si>
  <si>
    <t>Has Company</t>
  </si>
  <si>
    <t>No (0)</t>
  </si>
  <si>
    <t>Yes (1)</t>
  </si>
  <si>
    <t>Has Agent</t>
  </si>
  <si>
    <t>Month</t>
  </si>
  <si>
    <t>April</t>
  </si>
  <si>
    <t>June</t>
  </si>
  <si>
    <t>May</t>
  </si>
  <si>
    <t>December</t>
  </si>
  <si>
    <t>January</t>
  </si>
  <si>
    <t>October</t>
  </si>
  <si>
    <t>August</t>
  </si>
  <si>
    <t>September</t>
  </si>
  <si>
    <t>March</t>
  </si>
  <si>
    <t>July</t>
  </si>
  <si>
    <t>February</t>
  </si>
  <si>
    <t>November</t>
  </si>
  <si>
    <t>Driver</t>
  </si>
  <si>
    <t>Cancellation Rate</t>
  </si>
  <si>
    <t>Bookings Affected</t>
  </si>
  <si>
    <t>Non-Refund deposit</t>
  </si>
  <si>
    <t>99.4%</t>
  </si>
  <si>
    <t>14,585</t>
  </si>
  <si>
    <t>₹3,598,607</t>
  </si>
  <si>
    <t>99.53%</t>
  </si>
  <si>
    <t>Repeat cancellers (previous_cancellations ≥ 1)</t>
  </si>
  <si>
    <t>94.4%</t>
  </si>
  <si>
    <t>6,050</t>
  </si>
  <si>
    <t>Groups (market segment)</t>
  </si>
  <si>
    <t>61.1%</t>
  </si>
  <si>
    <t>19,783</t>
  </si>
  <si>
    <t>₹2,799,864</t>
  </si>
  <si>
    <t>60.18%</t>
  </si>
  <si>
    <t>41.7%</t>
  </si>
  <si>
    <t>79,275</t>
  </si>
  <si>
    <t>₹10,866,064</t>
  </si>
  <si>
    <t>43.09%</t>
  </si>
  <si>
    <t>Online TA (market segment)</t>
  </si>
  <si>
    <t>36.7%</t>
  </si>
  <si>
    <t>56,283</t>
  </si>
  <si>
    <t>₹10,100,106</t>
  </si>
  <si>
    <t>42.67%</t>
  </si>
  <si>
    <t>TA/TO (distribution channel)</t>
  </si>
  <si>
    <t>41.0%</t>
  </si>
  <si>
    <t>97,665</t>
  </si>
  <si>
    <t>₹15,153,632</t>
  </si>
  <si>
    <t>42.33%</t>
  </si>
  <si>
    <t>Transient (customer type)</t>
  </si>
  <si>
    <t>40.8%</t>
  </si>
  <si>
    <t>89,327</t>
  </si>
  <si>
    <t>₹14,704,241</t>
  </si>
  <si>
    <t>43.53%</t>
  </si>
  <si>
    <t>Has Agent = Yes</t>
  </si>
  <si>
    <t>39.0%</t>
  </si>
  <si>
    <t>102,777</t>
  </si>
  <si>
    <t>₹15,435,507</t>
  </si>
  <si>
    <t>40.08%</t>
  </si>
  <si>
    <t>0 Booking Changes</t>
  </si>
  <si>
    <t>40.9%</t>
  </si>
  <si>
    <t>101,000</t>
  </si>
  <si>
    <t>Peak season (Apr–Jun)</t>
  </si>
  <si>
    <t>—</t>
  </si>
  <si>
    <t>33,797</t>
  </si>
  <si>
    <t>₹5,226,553</t>
  </si>
  <si>
    <t>42.43%</t>
  </si>
  <si>
    <t>Has Company = No (contrast — higher risk)</t>
  </si>
  <si>
    <t>38.2%</t>
  </si>
  <si>
    <t>112,267</t>
  </si>
  <si>
    <t>₹16,359,229</t>
  </si>
  <si>
    <t>39.74%</t>
  </si>
  <si>
    <t>-</t>
  </si>
  <si>
    <t>Mean (Rate)</t>
  </si>
  <si>
    <t>Count</t>
  </si>
  <si>
    <t>Impact Score</t>
  </si>
  <si>
    <t>Offline TA/TO</t>
  </si>
  <si>
    <t>Undefined</t>
  </si>
  <si>
    <t>Booking Changes</t>
  </si>
  <si>
    <t>1,01,000+</t>
  </si>
  <si>
    <t>Previous Cancellations</t>
  </si>
  <si>
    <t>0 (No)</t>
  </si>
  <si>
    <t>1 (Yes)</t>
  </si>
  <si>
    <t>Arrival Date Month</t>
  </si>
  <si>
    <t>City Hotel (Hotel type)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</si>
</sst>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3.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6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10" fontId="1" fillId="0" borderId="0" xfId="0" applyNumberFormat="1" applyFont="1" applyAlignment="1">
      <alignment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vertical="center" wrapText="1"/>
    </xf>
    <xf numFmtId="0" fontId="4" fillId="0" borderId="1" xfId="1" applyFont="1" applyBorder="1" applyAlignment="1">
      <alignment vertical="center" wrapText="1"/>
    </xf>
    <xf numFmtId="0" fontId="5" fillId="0" borderId="0" xfId="0" applyFont="1" applyAlignment="1">
      <alignment vertical="center"/>
    </xf>
    <xf numFmtId="3" fontId="0" fillId="0" borderId="0" xfId="0" applyNumberFormat="1" applyAlignment="1">
      <alignment vertical="center" wrapText="1"/>
    </xf>
  </cellXfs>
  <cellStyles count="2">
    <cellStyle name="Normal" xfId="0" builtinId="0"/>
    <cellStyle name="Normal 2" xfId="1" xr:uid="{1B40CA8A-91EE-430C-B0D9-9F3CBD27AE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Based</a:t>
            </a:r>
            <a:r>
              <a:rPr lang="en-IN" baseline="0"/>
              <a:t> on Deposit Type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'Revenue Lost'!$A$12:$A$14</c:f>
              <c:strCache>
                <c:ptCount val="3"/>
                <c:pt idx="0">
                  <c:v>Non Refund</c:v>
                </c:pt>
                <c:pt idx="1">
                  <c:v>Refundable</c:v>
                </c:pt>
                <c:pt idx="2">
                  <c:v>No Deposit</c:v>
                </c:pt>
              </c:strCache>
            </c:strRef>
          </c:cat>
          <c:val>
            <c:numRef>
              <c:f>'Revenue Lost'!$B$12:$B$14</c:f>
              <c:numCache>
                <c:formatCode>"₹"#,##0_);[Red]\("₹"#,##0\)</c:formatCode>
                <c:ptCount val="3"/>
                <c:pt idx="0">
                  <c:v>3615717</c:v>
                </c:pt>
                <c:pt idx="1">
                  <c:v>48985</c:v>
                </c:pt>
                <c:pt idx="2">
                  <c:v>38602076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EA-45E4-9F00-8E51FABF460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'Revenue Lost'!$A$12:$A$14</c:f>
              <c:strCache>
                <c:ptCount val="3"/>
                <c:pt idx="0">
                  <c:v>Non Refund</c:v>
                </c:pt>
                <c:pt idx="1">
                  <c:v>Refundable</c:v>
                </c:pt>
                <c:pt idx="2">
                  <c:v>No Deposit</c:v>
                </c:pt>
              </c:strCache>
            </c:strRef>
          </c:cat>
          <c:val>
            <c:numRef>
              <c:f>'Revenue Lost'!$C$12:$C$14</c:f>
              <c:numCache>
                <c:formatCode>"₹"#,##0_);[Red]\("₹"#,##0\)</c:formatCode>
                <c:ptCount val="3"/>
                <c:pt idx="0">
                  <c:v>3598607</c:v>
                </c:pt>
                <c:pt idx="1">
                  <c:v>19998</c:v>
                </c:pt>
                <c:pt idx="2">
                  <c:v>12944778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EA-45E4-9F00-8E51FABF4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25505887"/>
        <c:axId val="1004994543"/>
        <c:axId val="0"/>
      </c:bar3DChart>
      <c:catAx>
        <c:axId val="1025505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994543"/>
        <c:crosses val="autoZero"/>
        <c:auto val="1"/>
        <c:lblAlgn val="ctr"/>
        <c:lblOffset val="100"/>
        <c:noMultiLvlLbl val="0"/>
      </c:catAx>
      <c:valAx>
        <c:axId val="100499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_);[Red]\(&quot;₹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505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Based on</a:t>
            </a:r>
            <a:r>
              <a:rPr lang="en-IN" baseline="0"/>
              <a:t> Hotel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'Revenue Lost'!$A$2</c:f>
              <c:strCache>
                <c:ptCount val="1"/>
                <c:pt idx="0">
                  <c:v>City Hotel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'Revenue Lost'!$B$2:$C$2</c:f>
              <c:numCache>
                <c:formatCode>"₹"#,##0_);[Red]\("₹"#,##0\)</c:formatCode>
                <c:ptCount val="2"/>
                <c:pt idx="0">
                  <c:v>25218077</c:v>
                </c:pt>
                <c:pt idx="1">
                  <c:v>10866064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0D-4F07-9617-6578BB3448EE}"/>
            </c:ext>
          </c:extLst>
        </c:ser>
        <c:ser>
          <c:idx val="1"/>
          <c:order val="1"/>
          <c:tx>
            <c:strRef>
              <c:f>'Revenue Lost'!$A$3</c:f>
              <c:strCache>
                <c:ptCount val="1"/>
                <c:pt idx="0">
                  <c:v>Resort Hotel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'Revenue Lost'!$B$3:$C$3</c:f>
              <c:numCache>
                <c:formatCode>"₹"#,##0_);[Red]\("₹"#,##0\)</c:formatCode>
                <c:ptCount val="2"/>
                <c:pt idx="0">
                  <c:v>17048701</c:v>
                </c:pt>
                <c:pt idx="1">
                  <c:v>5697319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0D-4F07-9617-6578BB344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71971983"/>
        <c:axId val="1004962863"/>
        <c:axId val="0"/>
      </c:bar3DChart>
      <c:catAx>
        <c:axId val="10719719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962863"/>
        <c:crosses val="autoZero"/>
        <c:auto val="1"/>
        <c:lblAlgn val="ctr"/>
        <c:lblOffset val="100"/>
        <c:noMultiLvlLbl val="0"/>
      </c:catAx>
      <c:valAx>
        <c:axId val="100496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_);[Red]\(&quot;₹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971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Market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'Revenue Lost'!$A$24:$A$26</c:f>
              <c:strCache>
                <c:ptCount val="3"/>
                <c:pt idx="0">
                  <c:v>Groups</c:v>
                </c:pt>
                <c:pt idx="1">
                  <c:v>Online TA</c:v>
                </c:pt>
                <c:pt idx="2">
                  <c:v>Refundable/Offline TA/TO</c:v>
                </c:pt>
              </c:strCache>
            </c:strRef>
          </c:cat>
          <c:val>
            <c:numRef>
              <c:f>'Revenue Lost'!$B$24:$B$26</c:f>
              <c:numCache>
                <c:formatCode>"₹"#,##0_);[Red]\("₹"#,##0\)</c:formatCode>
                <c:ptCount val="3"/>
                <c:pt idx="0">
                  <c:v>4652527</c:v>
                </c:pt>
                <c:pt idx="1">
                  <c:v>23670728</c:v>
                </c:pt>
                <c:pt idx="2">
                  <c:v>8136441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81-43D8-B82F-42DA24508EC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'Revenue Lost'!$A$24:$A$26</c:f>
              <c:strCache>
                <c:ptCount val="3"/>
                <c:pt idx="0">
                  <c:v>Groups</c:v>
                </c:pt>
                <c:pt idx="1">
                  <c:v>Online TA</c:v>
                </c:pt>
                <c:pt idx="2">
                  <c:v>Refundable/Offline TA/TO</c:v>
                </c:pt>
              </c:strCache>
            </c:strRef>
          </c:cat>
          <c:val>
            <c:numRef>
              <c:f>'Revenue Lost'!$C$24:$C$26</c:f>
              <c:numCache>
                <c:formatCode>"₹"#,##0_);[Red]\("₹"#,##0\)</c:formatCode>
                <c:ptCount val="3"/>
                <c:pt idx="0">
                  <c:v>2799864</c:v>
                </c:pt>
                <c:pt idx="1">
                  <c:v>10100106</c:v>
                </c:pt>
                <c:pt idx="2">
                  <c:v>2486958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81-43D8-B82F-42DA24508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68814127"/>
        <c:axId val="1005012783"/>
        <c:axId val="0"/>
      </c:bar3DChart>
      <c:catAx>
        <c:axId val="1068814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012783"/>
        <c:crosses val="autoZero"/>
        <c:auto val="1"/>
        <c:lblAlgn val="ctr"/>
        <c:lblOffset val="100"/>
        <c:noMultiLvlLbl val="0"/>
      </c:catAx>
      <c:valAx>
        <c:axId val="10050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_);[Red]\(&quot;₹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814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Distribution</a:t>
            </a:r>
            <a:r>
              <a:rPr lang="en-IN" baseline="0"/>
              <a:t> Channel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'Revenue Lost'!$A$36:$A$38</c:f>
              <c:strCache>
                <c:ptCount val="3"/>
                <c:pt idx="0">
                  <c:v>TA/TO</c:v>
                </c:pt>
                <c:pt idx="1">
                  <c:v>GDS</c:v>
                </c:pt>
                <c:pt idx="2">
                  <c:v>Corporate</c:v>
                </c:pt>
              </c:strCache>
            </c:strRef>
          </c:cat>
          <c:val>
            <c:numRef>
              <c:f>'Revenue Lost'!$B$36:$B$38</c:f>
              <c:numCache>
                <c:formatCode>"₹"#,##0_);[Red]\("₹"#,##0\)</c:formatCode>
                <c:ptCount val="3"/>
                <c:pt idx="0">
                  <c:v>35801271</c:v>
                </c:pt>
                <c:pt idx="1">
                  <c:v>45997</c:v>
                </c:pt>
                <c:pt idx="2">
                  <c:v>1112955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16-47E1-95ED-A26A5B04EC7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'Revenue Lost'!$A$36:$A$38</c:f>
              <c:strCache>
                <c:ptCount val="3"/>
                <c:pt idx="0">
                  <c:v>TA/TO</c:v>
                </c:pt>
                <c:pt idx="1">
                  <c:v>GDS</c:v>
                </c:pt>
                <c:pt idx="2">
                  <c:v>Corporate</c:v>
                </c:pt>
              </c:strCache>
            </c:strRef>
          </c:cat>
          <c:val>
            <c:numRef>
              <c:f>'Revenue Lost'!$C$36:$C$38</c:f>
              <c:numCache>
                <c:formatCode>"₹"#,##0_);[Red]\("₹"#,##0\)</c:formatCode>
                <c:ptCount val="3"/>
                <c:pt idx="0">
                  <c:v>15153632</c:v>
                </c:pt>
                <c:pt idx="1">
                  <c:v>12989</c:v>
                </c:pt>
                <c:pt idx="2">
                  <c:v>285579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16-47E1-95ED-A26A5B04E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85758991"/>
        <c:axId val="791697679"/>
        <c:axId val="0"/>
      </c:bar3DChart>
      <c:catAx>
        <c:axId val="1385758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697679"/>
        <c:crosses val="autoZero"/>
        <c:auto val="1"/>
        <c:lblAlgn val="ctr"/>
        <c:lblOffset val="100"/>
        <c:noMultiLvlLbl val="0"/>
      </c:catAx>
      <c:valAx>
        <c:axId val="791697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_);[Red]\(&quot;₹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758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'Revenue Lost'!$A$51</c:f>
              <c:strCache>
                <c:ptCount val="1"/>
                <c:pt idx="0">
                  <c:v>Transient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'Revenue Lost'!$B$51:$C$51</c:f>
              <c:numCache>
                <c:formatCode>"₹"#,##0_);[Red]\("₹"#,##0\)</c:formatCode>
                <c:ptCount val="2"/>
                <c:pt idx="0">
                  <c:v>33776282</c:v>
                </c:pt>
                <c:pt idx="1">
                  <c:v>14704241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C1-4FA6-AF69-2650C7F371C3}"/>
            </c:ext>
          </c:extLst>
        </c:ser>
        <c:ser>
          <c:idx val="1"/>
          <c:order val="1"/>
          <c:tx>
            <c:strRef>
              <c:f>'Revenue Lost'!$A$52</c:f>
              <c:strCache>
                <c:ptCount val="1"/>
                <c:pt idx="0">
                  <c:v>Transient-Party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'Revenue Lost'!$B$52:$C$52</c:f>
              <c:numCache>
                <c:formatCode>"₹"#,##0_);[Red]\("₹"#,##0\)</c:formatCode>
                <c:ptCount val="2"/>
                <c:pt idx="0">
                  <c:v>6511685</c:v>
                </c:pt>
                <c:pt idx="1">
                  <c:v>1488604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C1-4FA6-AF69-2650C7F37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61973343"/>
        <c:axId val="1463471247"/>
        <c:axId val="0"/>
      </c:bar3DChart>
      <c:catAx>
        <c:axId val="14619733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471247"/>
        <c:crosses val="autoZero"/>
        <c:auto val="1"/>
        <c:lblAlgn val="ctr"/>
        <c:lblOffset val="100"/>
        <c:noMultiLvlLbl val="0"/>
      </c:catAx>
      <c:valAx>
        <c:axId val="146347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_);[Red]\(&quot;₹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973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Has</a:t>
            </a:r>
            <a:r>
              <a:rPr lang="en-IN" baseline="0"/>
              <a:t> Company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'Revenue Lost'!$A$64</c:f>
              <c:strCache>
                <c:ptCount val="1"/>
                <c:pt idx="0">
                  <c:v>No (0)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'Revenue Lost'!$B$64:$C$64</c:f>
              <c:numCache>
                <c:formatCode>"₹"#,##0_);[Red]\("₹"#,##0\)</c:formatCode>
                <c:ptCount val="2"/>
                <c:pt idx="0">
                  <c:v>41169739</c:v>
                </c:pt>
                <c:pt idx="1">
                  <c:v>16359229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87-4A97-A296-C59A3F664A55}"/>
            </c:ext>
          </c:extLst>
        </c:ser>
        <c:ser>
          <c:idx val="1"/>
          <c:order val="1"/>
          <c:tx>
            <c:strRef>
              <c:f>'Revenue Lost'!$A$65</c:f>
              <c:strCache>
                <c:ptCount val="1"/>
                <c:pt idx="0">
                  <c:v>Yes (1)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'Revenue Lost'!$B$65:$C$65</c:f>
              <c:numCache>
                <c:formatCode>"₹"#,##0_);[Red]\("₹"#,##0\)</c:formatCode>
                <c:ptCount val="2"/>
                <c:pt idx="0">
                  <c:v>1097039</c:v>
                </c:pt>
                <c:pt idx="1">
                  <c:v>204154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87-4A97-A296-C59A3F664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59928383"/>
        <c:axId val="1463529807"/>
        <c:axId val="0"/>
      </c:bar3DChart>
      <c:catAx>
        <c:axId val="14599283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529807"/>
        <c:crosses val="autoZero"/>
        <c:auto val="1"/>
        <c:lblAlgn val="ctr"/>
        <c:lblOffset val="100"/>
        <c:noMultiLvlLbl val="0"/>
      </c:catAx>
      <c:valAx>
        <c:axId val="146352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_);[Red]\(&quot;₹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928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Has</a:t>
            </a:r>
            <a:r>
              <a:rPr lang="en-IN" baseline="0"/>
              <a:t> Agent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'Revenue Lost'!$A$77</c:f>
              <c:strCache>
                <c:ptCount val="1"/>
                <c:pt idx="0">
                  <c:v>Yes (1)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'Revenue Lost'!$B$77:$C$77</c:f>
              <c:numCache>
                <c:formatCode>"₹"#,##0_);[Red]\("₹"#,##0\)</c:formatCode>
                <c:ptCount val="2"/>
                <c:pt idx="0">
                  <c:v>38507414</c:v>
                </c:pt>
                <c:pt idx="1">
                  <c:v>15435507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1B-41A2-8E1F-46396911810A}"/>
            </c:ext>
          </c:extLst>
        </c:ser>
        <c:ser>
          <c:idx val="1"/>
          <c:order val="1"/>
          <c:tx>
            <c:strRef>
              <c:f>'Revenue Lost'!$A$78</c:f>
              <c:strCache>
                <c:ptCount val="1"/>
                <c:pt idx="0">
                  <c:v>No (0)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'Revenue Lost'!$B$78:$C$78</c:f>
              <c:numCache>
                <c:formatCode>"₹"#,##0_);[Red]\("₹"#,##0\)</c:formatCode>
                <c:ptCount val="2"/>
                <c:pt idx="0">
                  <c:v>3759363</c:v>
                </c:pt>
                <c:pt idx="1">
                  <c:v>1127876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1B-41A2-8E1F-463969118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61975199"/>
        <c:axId val="1463564367"/>
        <c:axId val="0"/>
      </c:bar3DChart>
      <c:catAx>
        <c:axId val="14619751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564367"/>
        <c:crosses val="autoZero"/>
        <c:auto val="1"/>
        <c:lblAlgn val="ctr"/>
        <c:lblOffset val="100"/>
        <c:noMultiLvlLbl val="0"/>
      </c:catAx>
      <c:valAx>
        <c:axId val="146356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_);[Red]\(&quot;₹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975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'Revenue Lost'!$A$91:$A$95</c:f>
              <c:strCache>
                <c:ptCount val="5"/>
                <c:pt idx="0">
                  <c:v>April</c:v>
                </c:pt>
                <c:pt idx="1">
                  <c:v>June</c:v>
                </c:pt>
                <c:pt idx="2">
                  <c:v>May</c:v>
                </c:pt>
                <c:pt idx="3">
                  <c:v>December</c:v>
                </c:pt>
                <c:pt idx="4">
                  <c:v>January</c:v>
                </c:pt>
              </c:strCache>
            </c:strRef>
          </c:cat>
          <c:val>
            <c:numRef>
              <c:f>'Revenue Lost'!$B$91:$B$95</c:f>
              <c:numCache>
                <c:formatCode>"₹"#,##0_);[Red]\("₹"#,##0\)</c:formatCode>
                <c:ptCount val="5"/>
                <c:pt idx="0">
                  <c:v>3708207</c:v>
                </c:pt>
                <c:pt idx="1">
                  <c:v>4488562</c:v>
                </c:pt>
                <c:pt idx="2">
                  <c:v>4095098</c:v>
                </c:pt>
                <c:pt idx="3">
                  <c:v>1775378</c:v>
                </c:pt>
                <c:pt idx="4">
                  <c:v>1273077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BF-44C9-B61C-5828E53D99A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'Revenue Lost'!$A$91:$A$95</c:f>
              <c:strCache>
                <c:ptCount val="5"/>
                <c:pt idx="0">
                  <c:v>April</c:v>
                </c:pt>
                <c:pt idx="1">
                  <c:v>June</c:v>
                </c:pt>
                <c:pt idx="2">
                  <c:v>May</c:v>
                </c:pt>
                <c:pt idx="3">
                  <c:v>December</c:v>
                </c:pt>
                <c:pt idx="4">
                  <c:v>January</c:v>
                </c:pt>
              </c:strCache>
            </c:strRef>
          </c:cat>
          <c:val>
            <c:numRef>
              <c:f>'Revenue Lost'!$C$91:$C$95</c:f>
              <c:numCache>
                <c:formatCode>"₹"#,##0_);[Red]\("₹"#,##0\)</c:formatCode>
                <c:ptCount val="5"/>
                <c:pt idx="0">
                  <c:v>1610609</c:v>
                </c:pt>
                <c:pt idx="1">
                  <c:v>1912029</c:v>
                </c:pt>
                <c:pt idx="2">
                  <c:v>1704915</c:v>
                </c:pt>
                <c:pt idx="3">
                  <c:v>710066</c:v>
                </c:pt>
                <c:pt idx="4">
                  <c:v>496401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BF-44C9-B61C-5828E53D9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27492431"/>
        <c:axId val="1463518767"/>
        <c:axId val="0"/>
      </c:bar3DChart>
      <c:catAx>
        <c:axId val="132749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518767"/>
        <c:crosses val="autoZero"/>
        <c:auto val="1"/>
        <c:lblAlgn val="ctr"/>
        <c:lblOffset val="100"/>
        <c:noMultiLvlLbl val="0"/>
      </c:catAx>
      <c:valAx>
        <c:axId val="146351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_);[Red]\(&quot;₹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492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10</xdr:row>
      <xdr:rowOff>7620</xdr:rowOff>
    </xdr:from>
    <xdr:to>
      <xdr:col>9</xdr:col>
      <xdr:colOff>472440</xdr:colOff>
      <xdr:row>22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007DF0-352D-E44B-FC22-9560B47552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7620</xdr:colOff>
      <xdr:row>0</xdr:row>
      <xdr:rowOff>19050</xdr:rowOff>
    </xdr:from>
    <xdr:to>
      <xdr:col>9</xdr:col>
      <xdr:colOff>441960</xdr:colOff>
      <xdr:row>9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30F7D8-CA1F-FFCF-4194-86EF2EFEFC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15240</xdr:colOff>
      <xdr:row>22</xdr:row>
      <xdr:rowOff>11430</xdr:rowOff>
    </xdr:from>
    <xdr:to>
      <xdr:col>11</xdr:col>
      <xdr:colOff>22860</xdr:colOff>
      <xdr:row>34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14D6904-CBD5-1E9E-6CBD-62222669AD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22860</xdr:colOff>
      <xdr:row>33</xdr:row>
      <xdr:rowOff>163830</xdr:rowOff>
    </xdr:from>
    <xdr:to>
      <xdr:col>11</xdr:col>
      <xdr:colOff>327660</xdr:colOff>
      <xdr:row>48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09F222-BD26-F847-5D0F-018C1E93F5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563880</xdr:colOff>
      <xdr:row>48</xdr:row>
      <xdr:rowOff>57150</xdr:rowOff>
    </xdr:from>
    <xdr:to>
      <xdr:col>11</xdr:col>
      <xdr:colOff>297180</xdr:colOff>
      <xdr:row>61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162B508-67D1-6B10-2A28-0991D0698A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563880</xdr:colOff>
      <xdr:row>61</xdr:row>
      <xdr:rowOff>72390</xdr:rowOff>
    </xdr:from>
    <xdr:to>
      <xdr:col>11</xdr:col>
      <xdr:colOff>297180</xdr:colOff>
      <xdr:row>74</xdr:row>
      <xdr:rowOff>72390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FD13245-0976-78AC-AFCF-EB70BE4920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563880</xdr:colOff>
      <xdr:row>74</xdr:row>
      <xdr:rowOff>110490</xdr:rowOff>
    </xdr:from>
    <xdr:to>
      <xdr:col>11</xdr:col>
      <xdr:colOff>297180</xdr:colOff>
      <xdr:row>87</xdr:row>
      <xdr:rowOff>110490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9DF486F-A38C-717D-A112-D455D9D448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15240</xdr:colOff>
      <xdr:row>89</xdr:row>
      <xdr:rowOff>3810</xdr:rowOff>
    </xdr:from>
    <xdr:to>
      <xdr:col>11</xdr:col>
      <xdr:colOff>320040</xdr:colOff>
      <xdr:row>102</xdr:row>
      <xdr:rowOff>3810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A54D231-1AAC-B49F-656C-0659158F22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CE065-C9BB-4A02-878B-61763067179B}">
  <dimension ref="A1:E12"/>
  <sheetViews>
    <sheetView tabSelected="1" workbookViewId="0">
      <selection activeCell="A20" sqref="A20"/>
    </sheetView>
  </sheetViews>
  <sheetFormatPr defaultRowHeight="14.4" x14ac:dyDescent="0.3"/>
  <cols>
    <col min="1" max="1" width="29.88671875" customWidth="1"/>
    <col min="2" max="2" width="27.77734375" customWidth="1"/>
    <col min="3" max="3" width="22.88671875" customWidth="1"/>
    <col min="4" max="4" width="21.88671875" customWidth="1"/>
    <col min="5" max="5" width="26.77734375" customWidth="1"/>
  </cols>
  <sheetData>
    <row r="1" spans="1:5" x14ac:dyDescent="0.3">
      <c r="A1" s="6" t="s">
        <v>43</v>
      </c>
      <c r="B1" s="6" t="s">
        <v>44</v>
      </c>
      <c r="C1" s="6" t="s">
        <v>45</v>
      </c>
      <c r="D1" s="6" t="s">
        <v>2</v>
      </c>
      <c r="E1" s="6" t="s">
        <v>3</v>
      </c>
    </row>
    <row r="2" spans="1:5" x14ac:dyDescent="0.3">
      <c r="A2" s="7" t="s">
        <v>46</v>
      </c>
      <c r="B2" s="8" t="s">
        <v>47</v>
      </c>
      <c r="C2" s="8" t="s">
        <v>48</v>
      </c>
      <c r="D2" s="8" t="s">
        <v>49</v>
      </c>
      <c r="E2" s="7" t="s">
        <v>50</v>
      </c>
    </row>
    <row r="3" spans="1:5" ht="27.6" x14ac:dyDescent="0.3">
      <c r="A3" s="8" t="s">
        <v>51</v>
      </c>
      <c r="B3" s="8" t="s">
        <v>52</v>
      </c>
      <c r="C3" s="8" t="s">
        <v>53</v>
      </c>
      <c r="D3" s="8" t="s">
        <v>96</v>
      </c>
      <c r="E3" s="8" t="s">
        <v>96</v>
      </c>
    </row>
    <row r="4" spans="1:5" x14ac:dyDescent="0.3">
      <c r="A4" s="8" t="s">
        <v>54</v>
      </c>
      <c r="B4" s="8" t="s">
        <v>55</v>
      </c>
      <c r="C4" s="8" t="s">
        <v>56</v>
      </c>
      <c r="D4" s="8" t="s">
        <v>57</v>
      </c>
      <c r="E4" s="8" t="s">
        <v>58</v>
      </c>
    </row>
    <row r="5" spans="1:5" x14ac:dyDescent="0.3">
      <c r="A5" s="8" t="s">
        <v>108</v>
      </c>
      <c r="B5" s="8" t="s">
        <v>59</v>
      </c>
      <c r="C5" s="8" t="s">
        <v>60</v>
      </c>
      <c r="D5" s="8" t="s">
        <v>61</v>
      </c>
      <c r="E5" s="8" t="s">
        <v>62</v>
      </c>
    </row>
    <row r="6" spans="1:5" x14ac:dyDescent="0.3">
      <c r="A6" s="8" t="s">
        <v>63</v>
      </c>
      <c r="B6" s="8" t="s">
        <v>64</v>
      </c>
      <c r="C6" s="8" t="s">
        <v>65</v>
      </c>
      <c r="D6" s="8" t="s">
        <v>66</v>
      </c>
      <c r="E6" s="8" t="s">
        <v>67</v>
      </c>
    </row>
    <row r="7" spans="1:5" x14ac:dyDescent="0.3">
      <c r="A7" s="8" t="s">
        <v>68</v>
      </c>
      <c r="B7" s="8" t="s">
        <v>69</v>
      </c>
      <c r="C7" s="8" t="s">
        <v>70</v>
      </c>
      <c r="D7" s="8" t="s">
        <v>71</v>
      </c>
      <c r="E7" s="8" t="s">
        <v>72</v>
      </c>
    </row>
    <row r="8" spans="1:5" x14ac:dyDescent="0.3">
      <c r="A8" s="8" t="s">
        <v>73</v>
      </c>
      <c r="B8" s="8" t="s">
        <v>74</v>
      </c>
      <c r="C8" s="8" t="s">
        <v>75</v>
      </c>
      <c r="D8" s="8" t="s">
        <v>76</v>
      </c>
      <c r="E8" s="8" t="s">
        <v>77</v>
      </c>
    </row>
    <row r="9" spans="1:5" x14ac:dyDescent="0.3">
      <c r="A9" s="8" t="s">
        <v>78</v>
      </c>
      <c r="B9" s="8" t="s">
        <v>79</v>
      </c>
      <c r="C9" s="8" t="s">
        <v>80</v>
      </c>
      <c r="D9" s="8" t="s">
        <v>81</v>
      </c>
      <c r="E9" s="8" t="s">
        <v>82</v>
      </c>
    </row>
    <row r="10" spans="1:5" x14ac:dyDescent="0.3">
      <c r="A10" s="8" t="s">
        <v>83</v>
      </c>
      <c r="B10" s="8" t="s">
        <v>84</v>
      </c>
      <c r="C10" s="8" t="s">
        <v>85</v>
      </c>
      <c r="D10" s="8" t="s">
        <v>96</v>
      </c>
      <c r="E10" s="8" t="s">
        <v>96</v>
      </c>
    </row>
    <row r="11" spans="1:5" x14ac:dyDescent="0.3">
      <c r="A11" s="8" t="s">
        <v>86</v>
      </c>
      <c r="B11" s="8" t="s">
        <v>87</v>
      </c>
      <c r="C11" s="8" t="s">
        <v>88</v>
      </c>
      <c r="D11" s="8" t="s">
        <v>89</v>
      </c>
      <c r="E11" s="8" t="s">
        <v>90</v>
      </c>
    </row>
    <row r="12" spans="1:5" ht="27.6" x14ac:dyDescent="0.3">
      <c r="A12" s="8" t="s">
        <v>91</v>
      </c>
      <c r="B12" s="8" t="s">
        <v>92</v>
      </c>
      <c r="C12" s="8" t="s">
        <v>93</v>
      </c>
      <c r="D12" s="8" t="s">
        <v>94</v>
      </c>
      <c r="E12" s="8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D6333-8DE4-407F-B751-47B643A03EC1}">
  <dimension ref="A1:D87"/>
  <sheetViews>
    <sheetView workbookViewId="0">
      <selection activeCell="F73" sqref="F73"/>
    </sheetView>
  </sheetViews>
  <sheetFormatPr defaultRowHeight="14.4" x14ac:dyDescent="0.3"/>
  <cols>
    <col min="1" max="1" width="14.77734375" customWidth="1"/>
    <col min="2" max="2" width="15.33203125" customWidth="1"/>
    <col min="3" max="3" width="16.44140625" customWidth="1"/>
    <col min="4" max="4" width="18.44140625" customWidth="1"/>
  </cols>
  <sheetData>
    <row r="1" spans="1:4" ht="18" x14ac:dyDescent="0.3">
      <c r="A1" s="9" t="s">
        <v>0</v>
      </c>
    </row>
    <row r="2" spans="1:4" x14ac:dyDescent="0.3">
      <c r="A2" s="1" t="s">
        <v>0</v>
      </c>
      <c r="B2" s="1" t="s">
        <v>97</v>
      </c>
      <c r="C2" s="1" t="s">
        <v>98</v>
      </c>
      <c r="D2" s="1" t="s">
        <v>99</v>
      </c>
    </row>
    <row r="3" spans="1:4" x14ac:dyDescent="0.3">
      <c r="A3" s="2" t="s">
        <v>5</v>
      </c>
      <c r="B3" s="2">
        <v>0.27729999999999999</v>
      </c>
      <c r="C3" s="10">
        <v>39787</v>
      </c>
      <c r="D3" s="10">
        <v>11031</v>
      </c>
    </row>
    <row r="4" spans="1:4" x14ac:dyDescent="0.3">
      <c r="A4" s="2" t="s">
        <v>4</v>
      </c>
      <c r="B4" s="2">
        <v>0.41739999999999999</v>
      </c>
      <c r="C4" s="10">
        <v>79275</v>
      </c>
      <c r="D4" s="10">
        <v>33088</v>
      </c>
    </row>
    <row r="6" spans="1:4" ht="18" x14ac:dyDescent="0.3">
      <c r="A6" s="9" t="s">
        <v>6</v>
      </c>
    </row>
    <row r="7" spans="1:4" x14ac:dyDescent="0.3">
      <c r="A7" s="1" t="s">
        <v>6</v>
      </c>
      <c r="B7" s="1" t="s">
        <v>97</v>
      </c>
      <c r="C7" s="1" t="s">
        <v>98</v>
      </c>
      <c r="D7" s="1" t="s">
        <v>99</v>
      </c>
    </row>
    <row r="8" spans="1:4" x14ac:dyDescent="0.3">
      <c r="A8" s="2" t="s">
        <v>9</v>
      </c>
      <c r="B8" s="2">
        <v>0.28370000000000001</v>
      </c>
      <c r="C8" s="10">
        <v>104641</v>
      </c>
      <c r="D8" s="10">
        <v>29591</v>
      </c>
    </row>
    <row r="9" spans="1:4" x14ac:dyDescent="0.3">
      <c r="A9" s="2" t="s">
        <v>7</v>
      </c>
      <c r="B9" s="2">
        <v>0.99360000000000004</v>
      </c>
      <c r="C9" s="10">
        <v>14585</v>
      </c>
      <c r="D9" s="10">
        <v>14492</v>
      </c>
    </row>
    <row r="10" spans="1:4" x14ac:dyDescent="0.3">
      <c r="A10" s="2" t="s">
        <v>8</v>
      </c>
      <c r="B10" s="2">
        <v>0.22220000000000001</v>
      </c>
      <c r="C10" s="2">
        <v>162</v>
      </c>
      <c r="D10" s="2">
        <v>36</v>
      </c>
    </row>
    <row r="12" spans="1:4" ht="18" x14ac:dyDescent="0.3">
      <c r="A12" s="9" t="s">
        <v>10</v>
      </c>
    </row>
    <row r="13" spans="1:4" ht="20.399999999999999" customHeight="1" x14ac:dyDescent="0.3">
      <c r="A13" s="1" t="s">
        <v>10</v>
      </c>
      <c r="B13" s="1" t="s">
        <v>97</v>
      </c>
      <c r="C13" s="1" t="s">
        <v>98</v>
      </c>
      <c r="D13" s="1" t="s">
        <v>99</v>
      </c>
    </row>
    <row r="14" spans="1:4" x14ac:dyDescent="0.3">
      <c r="A14" s="2" t="s">
        <v>16</v>
      </c>
      <c r="B14" s="2">
        <v>0.21940000000000001</v>
      </c>
      <c r="C14" s="2">
        <v>237</v>
      </c>
      <c r="D14" s="2">
        <v>52</v>
      </c>
    </row>
    <row r="15" spans="1:4" x14ac:dyDescent="0.3">
      <c r="A15" s="2" t="s">
        <v>17</v>
      </c>
      <c r="B15" s="2">
        <v>0.13059999999999999</v>
      </c>
      <c r="C15" s="2">
        <v>743</v>
      </c>
      <c r="D15" s="2">
        <v>97</v>
      </c>
    </row>
    <row r="16" spans="1:4" x14ac:dyDescent="0.3">
      <c r="A16" s="2" t="s">
        <v>14</v>
      </c>
      <c r="B16" s="2">
        <v>0.18720000000000001</v>
      </c>
      <c r="C16" s="10">
        <v>5293</v>
      </c>
      <c r="D16" s="2">
        <v>991</v>
      </c>
    </row>
    <row r="17" spans="1:4" x14ac:dyDescent="0.3">
      <c r="A17" s="2" t="s">
        <v>15</v>
      </c>
      <c r="B17" s="2">
        <v>0.15310000000000001</v>
      </c>
      <c r="C17" s="10">
        <v>12510</v>
      </c>
      <c r="D17" s="10">
        <v>1915</v>
      </c>
    </row>
    <row r="18" spans="1:4" x14ac:dyDescent="0.3">
      <c r="A18" s="2" t="s">
        <v>11</v>
      </c>
      <c r="B18" s="2">
        <v>0.61140000000000005</v>
      </c>
      <c r="C18" s="10">
        <v>19783</v>
      </c>
      <c r="D18" s="10">
        <v>12096</v>
      </c>
    </row>
    <row r="19" spans="1:4" x14ac:dyDescent="0.3">
      <c r="A19" s="2" t="s">
        <v>100</v>
      </c>
      <c r="B19" s="2">
        <v>0.34320000000000001</v>
      </c>
      <c r="C19" s="10">
        <v>24211</v>
      </c>
      <c r="D19" s="10">
        <v>8310</v>
      </c>
    </row>
    <row r="20" spans="1:4" x14ac:dyDescent="0.3">
      <c r="A20" s="2" t="s">
        <v>12</v>
      </c>
      <c r="B20" s="2">
        <v>0.36699999999999999</v>
      </c>
      <c r="C20" s="10">
        <v>56283</v>
      </c>
      <c r="D20" s="10">
        <v>20656</v>
      </c>
    </row>
    <row r="21" spans="1:4" x14ac:dyDescent="0.3">
      <c r="A21" s="2" t="s">
        <v>101</v>
      </c>
      <c r="B21" s="2">
        <v>1</v>
      </c>
      <c r="C21" s="2">
        <v>2</v>
      </c>
      <c r="D21" s="2">
        <v>2</v>
      </c>
    </row>
    <row r="23" spans="1:4" ht="18" x14ac:dyDescent="0.3">
      <c r="A23" s="9" t="s">
        <v>18</v>
      </c>
    </row>
    <row r="24" spans="1:4" ht="28.8" x14ac:dyDescent="0.3">
      <c r="A24" s="1" t="s">
        <v>18</v>
      </c>
      <c r="B24" s="1" t="s">
        <v>97</v>
      </c>
      <c r="C24" s="1" t="s">
        <v>98</v>
      </c>
      <c r="D24" s="1" t="s">
        <v>99</v>
      </c>
    </row>
    <row r="25" spans="1:4" x14ac:dyDescent="0.3">
      <c r="A25" s="2" t="s">
        <v>14</v>
      </c>
      <c r="B25" s="2">
        <v>0.22070000000000001</v>
      </c>
      <c r="C25" s="10">
        <v>6675</v>
      </c>
      <c r="D25" s="10">
        <v>1473</v>
      </c>
    </row>
    <row r="26" spans="1:4" x14ac:dyDescent="0.3">
      <c r="A26" s="2" t="s">
        <v>15</v>
      </c>
      <c r="B26" s="2">
        <v>0.17469999999999999</v>
      </c>
      <c r="C26" s="10">
        <v>14524</v>
      </c>
      <c r="D26" s="10">
        <v>2537</v>
      </c>
    </row>
    <row r="27" spans="1:4" x14ac:dyDescent="0.3">
      <c r="A27" s="2" t="s">
        <v>20</v>
      </c>
      <c r="B27" s="2">
        <v>0.19170000000000001</v>
      </c>
      <c r="C27" s="2">
        <v>193</v>
      </c>
      <c r="D27" s="2">
        <v>37</v>
      </c>
    </row>
    <row r="28" spans="1:4" x14ac:dyDescent="0.3">
      <c r="A28" s="2" t="s">
        <v>19</v>
      </c>
      <c r="B28" s="2">
        <v>0.4103</v>
      </c>
      <c r="C28" s="10">
        <v>97665</v>
      </c>
      <c r="D28" s="10">
        <v>40068</v>
      </c>
    </row>
    <row r="29" spans="1:4" x14ac:dyDescent="0.3">
      <c r="A29" s="2" t="s">
        <v>101</v>
      </c>
      <c r="B29" s="2">
        <v>0.8</v>
      </c>
      <c r="C29" s="2">
        <v>5</v>
      </c>
      <c r="D29" s="2">
        <v>4</v>
      </c>
    </row>
    <row r="31" spans="1:4" ht="18" x14ac:dyDescent="0.3">
      <c r="A31" s="9" t="s">
        <v>21</v>
      </c>
    </row>
    <row r="32" spans="1:4" x14ac:dyDescent="0.3">
      <c r="A32" s="1" t="s">
        <v>21</v>
      </c>
      <c r="B32" s="1" t="s">
        <v>97</v>
      </c>
      <c r="C32" s="1" t="s">
        <v>98</v>
      </c>
      <c r="D32" s="1" t="s">
        <v>99</v>
      </c>
    </row>
    <row r="33" spans="1:4" x14ac:dyDescent="0.3">
      <c r="A33" s="2" t="s">
        <v>24</v>
      </c>
      <c r="B33" s="2">
        <v>0.30959999999999999</v>
      </c>
      <c r="C33" s="10">
        <v>4076</v>
      </c>
      <c r="D33" s="10">
        <v>1262</v>
      </c>
    </row>
    <row r="34" spans="1:4" x14ac:dyDescent="0.3">
      <c r="A34" s="2" t="s">
        <v>25</v>
      </c>
      <c r="B34" s="2">
        <v>9.9099999999999994E-2</v>
      </c>
      <c r="C34" s="2">
        <v>575</v>
      </c>
      <c r="D34" s="2">
        <v>57</v>
      </c>
    </row>
    <row r="35" spans="1:4" x14ac:dyDescent="0.3">
      <c r="A35" s="2" t="s">
        <v>22</v>
      </c>
      <c r="B35" s="2">
        <v>0.40760000000000002</v>
      </c>
      <c r="C35" s="10">
        <v>89327</v>
      </c>
      <c r="D35" s="10">
        <v>36412</v>
      </c>
    </row>
    <row r="36" spans="1:4" x14ac:dyDescent="0.3">
      <c r="A36" s="2" t="s">
        <v>23</v>
      </c>
      <c r="B36" s="2">
        <v>0.25469999999999998</v>
      </c>
      <c r="C36" s="10">
        <v>25084</v>
      </c>
      <c r="D36" s="10">
        <v>6388</v>
      </c>
    </row>
    <row r="38" spans="1:4" ht="18" x14ac:dyDescent="0.3">
      <c r="A38" s="9" t="s">
        <v>102</v>
      </c>
    </row>
    <row r="39" spans="1:4" ht="28.8" x14ac:dyDescent="0.3">
      <c r="A39" s="1" t="s">
        <v>102</v>
      </c>
      <c r="B39" s="1" t="s">
        <v>97</v>
      </c>
      <c r="C39" s="1" t="s">
        <v>98</v>
      </c>
      <c r="D39" s="1" t="s">
        <v>99</v>
      </c>
    </row>
    <row r="40" spans="1:4" x14ac:dyDescent="0.3">
      <c r="A40" s="2">
        <v>0</v>
      </c>
      <c r="B40" s="2">
        <v>0.40860000000000002</v>
      </c>
      <c r="C40" s="2" t="s">
        <v>103</v>
      </c>
      <c r="D40" s="10">
        <v>41303</v>
      </c>
    </row>
    <row r="41" spans="1:4" x14ac:dyDescent="0.3">
      <c r="A41" s="2">
        <v>1</v>
      </c>
      <c r="B41" s="2">
        <v>0.14199999999999999</v>
      </c>
      <c r="C41" s="10">
        <v>12630</v>
      </c>
      <c r="D41" s="10">
        <v>1793</v>
      </c>
    </row>
    <row r="42" spans="1:4" x14ac:dyDescent="0.3">
      <c r="A42" s="2">
        <v>2</v>
      </c>
      <c r="B42" s="2">
        <v>0.20180000000000001</v>
      </c>
      <c r="C42" s="10">
        <v>3790</v>
      </c>
      <c r="D42" s="2">
        <v>765</v>
      </c>
    </row>
    <row r="43" spans="1:4" x14ac:dyDescent="0.3">
      <c r="A43" s="2">
        <v>3</v>
      </c>
      <c r="B43" s="2">
        <v>0.15379999999999999</v>
      </c>
      <c r="C43" s="2">
        <v>923</v>
      </c>
      <c r="D43" s="2">
        <v>142</v>
      </c>
    </row>
    <row r="44" spans="1:4" x14ac:dyDescent="0.3">
      <c r="A44" s="2">
        <v>4</v>
      </c>
      <c r="B44" s="2">
        <v>0.17960000000000001</v>
      </c>
      <c r="C44" s="2">
        <v>373</v>
      </c>
      <c r="D44" s="2">
        <v>67</v>
      </c>
    </row>
    <row r="45" spans="1:4" x14ac:dyDescent="0.3">
      <c r="A45" s="2">
        <v>5</v>
      </c>
      <c r="B45" s="2">
        <v>0.1739</v>
      </c>
      <c r="C45" s="2">
        <v>115</v>
      </c>
      <c r="D45" s="2">
        <v>20</v>
      </c>
    </row>
    <row r="46" spans="1:4" x14ac:dyDescent="0.3">
      <c r="A46" s="2">
        <v>6</v>
      </c>
      <c r="B46" s="2">
        <v>0.2903</v>
      </c>
      <c r="C46" s="2">
        <v>62</v>
      </c>
      <c r="D46" s="2">
        <v>18</v>
      </c>
    </row>
    <row r="47" spans="1:4" x14ac:dyDescent="0.3">
      <c r="A47" s="2">
        <v>7</v>
      </c>
      <c r="B47" s="2">
        <v>9.6799999999999997E-2</v>
      </c>
      <c r="C47" s="2">
        <v>31</v>
      </c>
      <c r="D47" s="2">
        <v>3</v>
      </c>
    </row>
    <row r="48" spans="1:4" x14ac:dyDescent="0.3">
      <c r="A48" s="2">
        <v>8</v>
      </c>
      <c r="B48" s="2">
        <v>0.25</v>
      </c>
      <c r="C48" s="2">
        <v>16</v>
      </c>
      <c r="D48" s="2">
        <v>4</v>
      </c>
    </row>
    <row r="49" spans="1:4" x14ac:dyDescent="0.3">
      <c r="A49" s="2">
        <v>9</v>
      </c>
      <c r="B49" s="2">
        <v>0.125</v>
      </c>
      <c r="C49" s="2">
        <v>8</v>
      </c>
      <c r="D49" s="2">
        <v>1</v>
      </c>
    </row>
    <row r="50" spans="1:4" x14ac:dyDescent="0.3">
      <c r="A50" s="2">
        <v>10</v>
      </c>
      <c r="B50" s="2">
        <v>0.16669999999999999</v>
      </c>
      <c r="C50" s="2">
        <v>6</v>
      </c>
      <c r="D50" s="2">
        <v>1</v>
      </c>
    </row>
    <row r="52" spans="1:4" ht="18" x14ac:dyDescent="0.3">
      <c r="A52" s="9" t="s">
        <v>104</v>
      </c>
    </row>
    <row r="53" spans="1:4" ht="28.8" x14ac:dyDescent="0.3">
      <c r="A53" s="1" t="s">
        <v>104</v>
      </c>
      <c r="B53" s="1" t="s">
        <v>97</v>
      </c>
      <c r="C53" s="1" t="s">
        <v>98</v>
      </c>
      <c r="D53" s="1" t="s">
        <v>99</v>
      </c>
    </row>
    <row r="54" spans="1:4" x14ac:dyDescent="0.3">
      <c r="A54" s="2">
        <v>0</v>
      </c>
      <c r="B54" s="2">
        <v>0.33910000000000001</v>
      </c>
      <c r="C54" s="10">
        <v>112579</v>
      </c>
      <c r="D54" s="10">
        <v>38178</v>
      </c>
    </row>
    <row r="55" spans="1:4" x14ac:dyDescent="0.3">
      <c r="A55" s="2">
        <v>1</v>
      </c>
      <c r="B55" s="2">
        <v>0.94430000000000003</v>
      </c>
      <c r="C55" s="10">
        <v>6050</v>
      </c>
      <c r="D55" s="10">
        <v>5713</v>
      </c>
    </row>
    <row r="56" spans="1:4" x14ac:dyDescent="0.3">
      <c r="A56" s="2">
        <v>2</v>
      </c>
      <c r="B56" s="2">
        <v>0.3276</v>
      </c>
      <c r="C56" s="2">
        <v>116</v>
      </c>
      <c r="D56" s="2">
        <v>38</v>
      </c>
    </row>
    <row r="57" spans="1:4" x14ac:dyDescent="0.3">
      <c r="A57" s="2">
        <v>3</v>
      </c>
      <c r="B57" s="2">
        <v>0.30769999999999997</v>
      </c>
      <c r="C57" s="2">
        <v>65</v>
      </c>
      <c r="D57" s="2">
        <v>20</v>
      </c>
    </row>
    <row r="58" spans="1:4" x14ac:dyDescent="0.3">
      <c r="A58" s="2">
        <v>4</v>
      </c>
      <c r="B58" s="2">
        <v>0.2258</v>
      </c>
      <c r="C58" s="2">
        <v>31</v>
      </c>
      <c r="D58" s="2">
        <v>7</v>
      </c>
    </row>
    <row r="59" spans="1:4" x14ac:dyDescent="0.3">
      <c r="A59" s="2">
        <v>5</v>
      </c>
      <c r="B59" s="2">
        <v>0.1053</v>
      </c>
      <c r="C59" s="2">
        <v>19</v>
      </c>
      <c r="D59" s="2">
        <v>2</v>
      </c>
    </row>
    <row r="60" spans="1:4" x14ac:dyDescent="0.3">
      <c r="A60" s="2">
        <v>6</v>
      </c>
      <c r="B60" s="2">
        <v>0.31819999999999998</v>
      </c>
      <c r="C60" s="2">
        <v>22</v>
      </c>
      <c r="D60" s="2">
        <v>7</v>
      </c>
    </row>
    <row r="61" spans="1:4" x14ac:dyDescent="0.3">
      <c r="A61" s="2">
        <v>11</v>
      </c>
      <c r="B61" s="2">
        <v>0.28570000000000001</v>
      </c>
      <c r="C61" s="2">
        <v>35</v>
      </c>
      <c r="D61" s="2">
        <v>10</v>
      </c>
    </row>
    <row r="62" spans="1:4" x14ac:dyDescent="0.3">
      <c r="A62" s="2">
        <v>13</v>
      </c>
      <c r="B62" s="2">
        <v>0.91669999999999996</v>
      </c>
      <c r="C62" s="2">
        <v>12</v>
      </c>
      <c r="D62" s="2">
        <v>11</v>
      </c>
    </row>
    <row r="64" spans="1:4" ht="18" x14ac:dyDescent="0.3">
      <c r="A64" s="9" t="s">
        <v>26</v>
      </c>
    </row>
    <row r="65" spans="1:4" x14ac:dyDescent="0.3">
      <c r="A65" s="1" t="s">
        <v>26</v>
      </c>
      <c r="B65" s="1" t="s">
        <v>97</v>
      </c>
      <c r="C65" s="1" t="s">
        <v>98</v>
      </c>
      <c r="D65" s="1" t="s">
        <v>99</v>
      </c>
    </row>
    <row r="66" spans="1:4" x14ac:dyDescent="0.3">
      <c r="A66" s="2" t="s">
        <v>105</v>
      </c>
      <c r="B66" s="2">
        <v>0.38240000000000002</v>
      </c>
      <c r="C66" s="10">
        <v>112267</v>
      </c>
      <c r="D66" s="10">
        <v>42929</v>
      </c>
    </row>
    <row r="67" spans="1:4" x14ac:dyDescent="0.3">
      <c r="A67" s="2" t="s">
        <v>106</v>
      </c>
      <c r="B67" s="2">
        <v>0.17510000000000001</v>
      </c>
      <c r="C67" s="10">
        <v>6795</v>
      </c>
      <c r="D67" s="10">
        <v>1190</v>
      </c>
    </row>
    <row r="69" spans="1:4" ht="18" x14ac:dyDescent="0.3">
      <c r="A69" s="9" t="s">
        <v>29</v>
      </c>
    </row>
    <row r="70" spans="1:4" x14ac:dyDescent="0.3">
      <c r="A70" s="1" t="s">
        <v>29</v>
      </c>
      <c r="B70" s="1" t="s">
        <v>97</v>
      </c>
      <c r="C70" s="1" t="s">
        <v>98</v>
      </c>
      <c r="D70" s="1" t="s">
        <v>99</v>
      </c>
    </row>
    <row r="71" spans="1:4" x14ac:dyDescent="0.3">
      <c r="A71" s="2" t="s">
        <v>105</v>
      </c>
      <c r="B71" s="2">
        <v>0.24709999999999999</v>
      </c>
      <c r="C71" s="10">
        <v>16285</v>
      </c>
      <c r="D71" s="10">
        <v>4024</v>
      </c>
    </row>
    <row r="72" spans="1:4" x14ac:dyDescent="0.3">
      <c r="A72" s="2" t="s">
        <v>106</v>
      </c>
      <c r="B72" s="2">
        <v>0.3901</v>
      </c>
      <c r="C72" s="10">
        <v>102777</v>
      </c>
      <c r="D72" s="10">
        <v>40095</v>
      </c>
    </row>
    <row r="74" spans="1:4" ht="18" x14ac:dyDescent="0.3">
      <c r="A74" s="9" t="s">
        <v>107</v>
      </c>
    </row>
    <row r="75" spans="1:4" x14ac:dyDescent="0.3">
      <c r="A75" s="1" t="s">
        <v>30</v>
      </c>
      <c r="B75" s="1" t="s">
        <v>97</v>
      </c>
      <c r="C75" s="1" t="s">
        <v>98</v>
      </c>
      <c r="D75" s="1" t="s">
        <v>99</v>
      </c>
    </row>
    <row r="76" spans="1:4" x14ac:dyDescent="0.3">
      <c r="A76" s="2" t="s">
        <v>35</v>
      </c>
      <c r="B76" s="2">
        <v>0.30480000000000002</v>
      </c>
      <c r="C76" s="10">
        <v>5929</v>
      </c>
      <c r="D76" s="10">
        <v>1807</v>
      </c>
    </row>
    <row r="77" spans="1:4" x14ac:dyDescent="0.3">
      <c r="A77" s="2" t="s">
        <v>41</v>
      </c>
      <c r="B77" s="2">
        <v>0.3342</v>
      </c>
      <c r="C77" s="10">
        <v>8068</v>
      </c>
      <c r="D77" s="10">
        <v>2696</v>
      </c>
    </row>
    <row r="78" spans="1:4" x14ac:dyDescent="0.3">
      <c r="A78" s="2" t="s">
        <v>39</v>
      </c>
      <c r="B78" s="2">
        <v>0.32150000000000001</v>
      </c>
      <c r="C78" s="10">
        <v>9792</v>
      </c>
      <c r="D78" s="10">
        <v>3148</v>
      </c>
    </row>
    <row r="79" spans="1:4" x14ac:dyDescent="0.3">
      <c r="A79" s="2" t="s">
        <v>31</v>
      </c>
      <c r="B79" s="2">
        <v>0.40810000000000002</v>
      </c>
      <c r="C79" s="10">
        <v>11086</v>
      </c>
      <c r="D79" s="10">
        <v>4524</v>
      </c>
    </row>
    <row r="80" spans="1:4" x14ac:dyDescent="0.3">
      <c r="A80" s="2" t="s">
        <v>33</v>
      </c>
      <c r="B80" s="2">
        <v>0.39660000000000001</v>
      </c>
      <c r="C80" s="10">
        <v>11780</v>
      </c>
      <c r="D80" s="10">
        <v>4672</v>
      </c>
    </row>
    <row r="81" spans="1:4" x14ac:dyDescent="0.3">
      <c r="A81" s="2" t="s">
        <v>32</v>
      </c>
      <c r="B81" s="2">
        <v>0.41460000000000002</v>
      </c>
      <c r="C81" s="10">
        <v>10931</v>
      </c>
      <c r="D81" s="10">
        <v>4532</v>
      </c>
    </row>
    <row r="82" spans="1:4" x14ac:dyDescent="0.3">
      <c r="A82" s="2" t="s">
        <v>40</v>
      </c>
      <c r="B82" s="2">
        <v>0.37480000000000002</v>
      </c>
      <c r="C82" s="10">
        <v>12585</v>
      </c>
      <c r="D82" s="10">
        <v>4717</v>
      </c>
    </row>
    <row r="83" spans="1:4" x14ac:dyDescent="0.3">
      <c r="A83" s="2" t="s">
        <v>37</v>
      </c>
      <c r="B83" s="2">
        <v>0.37790000000000001</v>
      </c>
      <c r="C83" s="10">
        <v>13691</v>
      </c>
      <c r="D83" s="10">
        <v>5174</v>
      </c>
    </row>
    <row r="84" spans="1:4" x14ac:dyDescent="0.3">
      <c r="A84" s="2" t="s">
        <v>38</v>
      </c>
      <c r="B84" s="2">
        <v>0.39169999999999999</v>
      </c>
      <c r="C84" s="10">
        <v>10505</v>
      </c>
      <c r="D84" s="10">
        <v>4115</v>
      </c>
    </row>
    <row r="85" spans="1:4" x14ac:dyDescent="0.3">
      <c r="A85" s="2" t="s">
        <v>36</v>
      </c>
      <c r="B85" s="2">
        <v>0.3805</v>
      </c>
      <c r="C85" s="10">
        <v>11159</v>
      </c>
      <c r="D85" s="10">
        <v>4246</v>
      </c>
    </row>
    <row r="86" spans="1:4" x14ac:dyDescent="0.3">
      <c r="A86" s="2" t="s">
        <v>42</v>
      </c>
      <c r="B86" s="2">
        <v>0.31230000000000002</v>
      </c>
      <c r="C86" s="10">
        <v>6794</v>
      </c>
      <c r="D86" s="10">
        <v>2122</v>
      </c>
    </row>
    <row r="87" spans="1:4" x14ac:dyDescent="0.3">
      <c r="A87" s="2" t="s">
        <v>34</v>
      </c>
      <c r="B87" s="2">
        <v>0.35089999999999999</v>
      </c>
      <c r="C87" s="10">
        <v>6742</v>
      </c>
      <c r="D87" s="10">
        <v>2366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394D7-3877-40F2-A8A5-AC47B88E0ACF}">
  <dimension ref="A1:D102"/>
  <sheetViews>
    <sheetView workbookViewId="0">
      <selection activeCell="N23" sqref="N23"/>
    </sheetView>
  </sheetViews>
  <sheetFormatPr defaultRowHeight="14.4" x14ac:dyDescent="0.3"/>
  <cols>
    <col min="1" max="1" width="14.88671875" customWidth="1"/>
    <col min="2" max="3" width="11.77734375" bestFit="1" customWidth="1"/>
    <col min="4" max="4" width="8.33203125" bestFit="1" customWidth="1"/>
    <col min="12" max="12" width="18.109375" customWidth="1"/>
    <col min="13" max="13" width="17.44140625" customWidth="1"/>
    <col min="14" max="14" width="14.33203125" customWidth="1"/>
    <col min="15" max="15" width="13.6640625" customWidth="1"/>
  </cols>
  <sheetData>
    <row r="1" spans="1:4" ht="43.2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3">
        <v>25218077</v>
      </c>
      <c r="C2" s="3">
        <v>10866064</v>
      </c>
      <c r="D2" s="5">
        <v>0.43090000000000001</v>
      </c>
    </row>
    <row r="3" spans="1:4" x14ac:dyDescent="0.3">
      <c r="A3" s="2" t="s">
        <v>5</v>
      </c>
      <c r="B3" s="3">
        <v>17048701</v>
      </c>
      <c r="C3" s="3">
        <v>5697319</v>
      </c>
      <c r="D3" s="4">
        <v>0.3342</v>
      </c>
    </row>
    <row r="11" spans="1:4" ht="43.2" x14ac:dyDescent="0.3">
      <c r="A11" s="1" t="s">
        <v>6</v>
      </c>
      <c r="B11" s="1" t="s">
        <v>1</v>
      </c>
      <c r="C11" s="1" t="s">
        <v>2</v>
      </c>
      <c r="D11" s="1" t="s">
        <v>3</v>
      </c>
    </row>
    <row r="12" spans="1:4" x14ac:dyDescent="0.3">
      <c r="A12" s="2" t="s">
        <v>7</v>
      </c>
      <c r="B12" s="3">
        <v>3615717</v>
      </c>
      <c r="C12" s="3">
        <v>3598607</v>
      </c>
      <c r="D12" s="5">
        <v>0.99529999999999996</v>
      </c>
    </row>
    <row r="13" spans="1:4" x14ac:dyDescent="0.3">
      <c r="A13" s="2" t="s">
        <v>8</v>
      </c>
      <c r="B13" s="3">
        <v>48985</v>
      </c>
      <c r="C13" s="3">
        <v>19998</v>
      </c>
      <c r="D13" s="4">
        <v>0.40820000000000001</v>
      </c>
    </row>
    <row r="14" spans="1:4" x14ac:dyDescent="0.3">
      <c r="A14" s="2" t="s">
        <v>9</v>
      </c>
      <c r="B14" s="3">
        <v>38602076</v>
      </c>
      <c r="C14" s="3">
        <v>12944778</v>
      </c>
      <c r="D14" s="4">
        <v>0.33529999999999999</v>
      </c>
    </row>
    <row r="23" spans="1:4" ht="43.2" x14ac:dyDescent="0.3">
      <c r="A23" s="1" t="s">
        <v>10</v>
      </c>
      <c r="B23" s="1" t="s">
        <v>1</v>
      </c>
      <c r="C23" s="1" t="s">
        <v>2</v>
      </c>
      <c r="D23" s="1" t="s">
        <v>3</v>
      </c>
    </row>
    <row r="24" spans="1:4" x14ac:dyDescent="0.3">
      <c r="A24" s="2" t="s">
        <v>11</v>
      </c>
      <c r="B24" s="3">
        <v>4652527</v>
      </c>
      <c r="C24" s="3">
        <v>2799864</v>
      </c>
      <c r="D24" s="5">
        <v>0.6018</v>
      </c>
    </row>
    <row r="25" spans="1:4" x14ac:dyDescent="0.3">
      <c r="A25" s="2" t="s">
        <v>12</v>
      </c>
      <c r="B25" s="3">
        <v>23670728</v>
      </c>
      <c r="C25" s="3">
        <v>10100106</v>
      </c>
      <c r="D25" s="4">
        <v>0.42670000000000002</v>
      </c>
    </row>
    <row r="26" spans="1:4" ht="28.8" x14ac:dyDescent="0.3">
      <c r="A26" s="2" t="s">
        <v>13</v>
      </c>
      <c r="B26" s="3">
        <v>8136441</v>
      </c>
      <c r="C26" s="3">
        <v>2486958</v>
      </c>
      <c r="D26" s="4">
        <v>0.30570000000000003</v>
      </c>
    </row>
    <row r="27" spans="1:4" x14ac:dyDescent="0.3">
      <c r="A27" s="2" t="s">
        <v>14</v>
      </c>
      <c r="B27" s="3">
        <v>773157</v>
      </c>
      <c r="C27" s="3">
        <v>195753</v>
      </c>
      <c r="D27" s="4">
        <v>0.25319999999999998</v>
      </c>
    </row>
    <row r="28" spans="1:4" x14ac:dyDescent="0.3">
      <c r="A28" s="2" t="s">
        <v>15</v>
      </c>
      <c r="B28" s="3">
        <v>4941348</v>
      </c>
      <c r="C28" s="3">
        <v>963806</v>
      </c>
      <c r="D28" s="4">
        <v>0.19500000000000001</v>
      </c>
    </row>
    <row r="29" spans="1:4" x14ac:dyDescent="0.3">
      <c r="A29" s="2" t="s">
        <v>16</v>
      </c>
      <c r="B29" s="3">
        <v>87446</v>
      </c>
      <c r="C29" s="3">
        <v>16578</v>
      </c>
      <c r="D29" s="4">
        <v>0.18959999999999999</v>
      </c>
    </row>
    <row r="30" spans="1:4" x14ac:dyDescent="0.3">
      <c r="A30" s="2" t="s">
        <v>17</v>
      </c>
      <c r="B30" s="3">
        <v>5083</v>
      </c>
      <c r="C30" s="3">
        <v>270</v>
      </c>
      <c r="D30" s="4">
        <v>5.3100000000000001E-2</v>
      </c>
    </row>
    <row r="35" spans="1:4" ht="43.2" x14ac:dyDescent="0.3">
      <c r="A35" s="1" t="s">
        <v>18</v>
      </c>
      <c r="B35" s="1" t="s">
        <v>1</v>
      </c>
      <c r="C35" s="1" t="s">
        <v>2</v>
      </c>
      <c r="D35" s="1" t="s">
        <v>3</v>
      </c>
    </row>
    <row r="36" spans="1:4" x14ac:dyDescent="0.3">
      <c r="A36" s="2" t="s">
        <v>19</v>
      </c>
      <c r="B36" s="3">
        <v>35801271</v>
      </c>
      <c r="C36" s="3">
        <v>15153632</v>
      </c>
      <c r="D36" s="5">
        <v>0.42330000000000001</v>
      </c>
    </row>
    <row r="37" spans="1:4" x14ac:dyDescent="0.3">
      <c r="A37" s="2" t="s">
        <v>20</v>
      </c>
      <c r="B37" s="3">
        <v>45997</v>
      </c>
      <c r="C37" s="3">
        <v>12989</v>
      </c>
      <c r="D37" s="4">
        <v>0.28239999999999998</v>
      </c>
    </row>
    <row r="38" spans="1:4" x14ac:dyDescent="0.3">
      <c r="A38" s="2" t="s">
        <v>14</v>
      </c>
      <c r="B38" s="3">
        <v>1112955</v>
      </c>
      <c r="C38" s="3">
        <v>285579</v>
      </c>
      <c r="D38" s="4">
        <v>0.25659999999999999</v>
      </c>
    </row>
    <row r="39" spans="1:4" x14ac:dyDescent="0.3">
      <c r="A39" s="2" t="s">
        <v>15</v>
      </c>
      <c r="B39" s="3">
        <v>5305383</v>
      </c>
      <c r="C39" s="3">
        <v>1110575</v>
      </c>
      <c r="D39" s="4">
        <v>0.20930000000000001</v>
      </c>
    </row>
    <row r="50" spans="1:4" ht="43.2" x14ac:dyDescent="0.3">
      <c r="A50" s="1" t="s">
        <v>21</v>
      </c>
      <c r="B50" s="1" t="s">
        <v>1</v>
      </c>
      <c r="C50" s="1" t="s">
        <v>2</v>
      </c>
      <c r="D50" s="1" t="s">
        <v>3</v>
      </c>
    </row>
    <row r="51" spans="1:4" x14ac:dyDescent="0.3">
      <c r="A51" s="2" t="s">
        <v>22</v>
      </c>
      <c r="B51" s="3">
        <v>33776282</v>
      </c>
      <c r="C51" s="3">
        <v>14704241</v>
      </c>
      <c r="D51" s="5">
        <v>0.43530000000000002</v>
      </c>
    </row>
    <row r="52" spans="1:4" x14ac:dyDescent="0.3">
      <c r="A52" s="2" t="s">
        <v>23</v>
      </c>
      <c r="B52" s="3">
        <v>6511685</v>
      </c>
      <c r="C52" s="3">
        <v>1488604</v>
      </c>
      <c r="D52" s="4">
        <v>0.2286</v>
      </c>
    </row>
    <row r="53" spans="1:4" x14ac:dyDescent="0.3">
      <c r="A53" s="2" t="s">
        <v>24</v>
      </c>
      <c r="B53" s="3">
        <v>1839078</v>
      </c>
      <c r="C53" s="3">
        <v>354161</v>
      </c>
      <c r="D53" s="4">
        <v>0.19259999999999999</v>
      </c>
    </row>
    <row r="54" spans="1:4" x14ac:dyDescent="0.3">
      <c r="A54" s="2" t="s">
        <v>25</v>
      </c>
      <c r="B54" s="3">
        <v>139732</v>
      </c>
      <c r="C54" s="3">
        <v>16377</v>
      </c>
      <c r="D54" s="4">
        <v>0.1172</v>
      </c>
    </row>
    <row r="63" spans="1:4" ht="43.2" x14ac:dyDescent="0.3">
      <c r="A63" s="1" t="s">
        <v>26</v>
      </c>
      <c r="B63" s="1" t="s">
        <v>1</v>
      </c>
      <c r="C63" s="1" t="s">
        <v>2</v>
      </c>
      <c r="D63" s="1" t="s">
        <v>3</v>
      </c>
    </row>
    <row r="64" spans="1:4" x14ac:dyDescent="0.3">
      <c r="A64" s="2" t="s">
        <v>27</v>
      </c>
      <c r="B64" s="3">
        <v>41169739</v>
      </c>
      <c r="C64" s="3">
        <v>16359229</v>
      </c>
      <c r="D64" s="5">
        <v>0.39739999999999998</v>
      </c>
    </row>
    <row r="65" spans="1:4" x14ac:dyDescent="0.3">
      <c r="A65" s="2" t="s">
        <v>28</v>
      </c>
      <c r="B65" s="3">
        <v>1097039</v>
      </c>
      <c r="C65" s="3">
        <v>204154</v>
      </c>
      <c r="D65" s="4">
        <v>0.18609999999999999</v>
      </c>
    </row>
    <row r="76" spans="1:4" ht="43.2" x14ac:dyDescent="0.3">
      <c r="A76" s="1" t="s">
        <v>29</v>
      </c>
      <c r="B76" s="1" t="s">
        <v>1</v>
      </c>
      <c r="C76" s="1" t="s">
        <v>2</v>
      </c>
      <c r="D76" s="1" t="s">
        <v>3</v>
      </c>
    </row>
    <row r="77" spans="1:4" x14ac:dyDescent="0.3">
      <c r="A77" s="2" t="s">
        <v>28</v>
      </c>
      <c r="B77" s="3">
        <v>38507414</v>
      </c>
      <c r="C77" s="3">
        <v>15435507</v>
      </c>
      <c r="D77" s="5">
        <v>0.40079999999999999</v>
      </c>
    </row>
    <row r="78" spans="1:4" x14ac:dyDescent="0.3">
      <c r="A78" s="2" t="s">
        <v>27</v>
      </c>
      <c r="B78" s="3">
        <v>3759363</v>
      </c>
      <c r="C78" s="3">
        <v>1127876</v>
      </c>
      <c r="D78" s="4">
        <v>0.3</v>
      </c>
    </row>
    <row r="90" spans="1:4" ht="43.2" x14ac:dyDescent="0.3">
      <c r="A90" s="1" t="s">
        <v>30</v>
      </c>
      <c r="B90" s="1" t="s">
        <v>1</v>
      </c>
      <c r="C90" s="1" t="s">
        <v>2</v>
      </c>
      <c r="D90" s="1" t="s">
        <v>3</v>
      </c>
    </row>
    <row r="91" spans="1:4" x14ac:dyDescent="0.3">
      <c r="A91" s="2" t="s">
        <v>31</v>
      </c>
      <c r="B91" s="3">
        <v>3708207</v>
      </c>
      <c r="C91" s="3">
        <v>1610609</v>
      </c>
      <c r="D91" s="5">
        <v>0.43430000000000002</v>
      </c>
    </row>
    <row r="92" spans="1:4" x14ac:dyDescent="0.3">
      <c r="A92" s="2" t="s">
        <v>32</v>
      </c>
      <c r="B92" s="3">
        <v>4488562</v>
      </c>
      <c r="C92" s="3">
        <v>1912029</v>
      </c>
      <c r="D92" s="4">
        <v>0.42599999999999999</v>
      </c>
    </row>
    <row r="93" spans="1:4" x14ac:dyDescent="0.3">
      <c r="A93" s="2" t="s">
        <v>33</v>
      </c>
      <c r="B93" s="3">
        <v>4095098</v>
      </c>
      <c r="C93" s="3">
        <v>1704915</v>
      </c>
      <c r="D93" s="4">
        <v>0.4163</v>
      </c>
    </row>
    <row r="94" spans="1:4" x14ac:dyDescent="0.3">
      <c r="A94" s="2" t="s">
        <v>34</v>
      </c>
      <c r="B94" s="3">
        <v>1775378</v>
      </c>
      <c r="C94" s="3">
        <v>710066</v>
      </c>
      <c r="D94" s="4">
        <v>0.4</v>
      </c>
    </row>
    <row r="95" spans="1:4" x14ac:dyDescent="0.3">
      <c r="A95" s="2" t="s">
        <v>35</v>
      </c>
      <c r="B95" s="3">
        <v>1273077</v>
      </c>
      <c r="C95" s="3">
        <v>496401</v>
      </c>
      <c r="D95" s="4">
        <v>0.38990000000000002</v>
      </c>
    </row>
    <row r="96" spans="1:4" x14ac:dyDescent="0.3">
      <c r="A96" s="2" t="s">
        <v>36</v>
      </c>
      <c r="B96" s="3">
        <v>3008950</v>
      </c>
      <c r="C96" s="3">
        <v>1152733</v>
      </c>
      <c r="D96" s="4">
        <v>0.3831</v>
      </c>
    </row>
    <row r="97" spans="1:4" x14ac:dyDescent="0.3">
      <c r="A97" s="2" t="s">
        <v>37</v>
      </c>
      <c r="B97" s="3">
        <v>7659637</v>
      </c>
      <c r="C97" s="3">
        <v>2920084</v>
      </c>
      <c r="D97" s="4">
        <v>0.38119999999999998</v>
      </c>
    </row>
    <row r="98" spans="1:4" x14ac:dyDescent="0.3">
      <c r="A98" s="2" t="s">
        <v>38</v>
      </c>
      <c r="B98" s="3">
        <v>3729004</v>
      </c>
      <c r="C98" s="3">
        <v>1386736</v>
      </c>
      <c r="D98" s="4">
        <v>0.37190000000000001</v>
      </c>
    </row>
    <row r="99" spans="1:4" x14ac:dyDescent="0.3">
      <c r="A99" s="2" t="s">
        <v>39</v>
      </c>
      <c r="B99" s="3">
        <v>2633885</v>
      </c>
      <c r="C99" s="3">
        <v>981723</v>
      </c>
      <c r="D99" s="4">
        <v>0.37269999999999998</v>
      </c>
    </row>
    <row r="100" spans="1:4" x14ac:dyDescent="0.3">
      <c r="A100" s="2" t="s">
        <v>40</v>
      </c>
      <c r="B100" s="3">
        <v>6475851</v>
      </c>
      <c r="C100" s="3">
        <v>2452054</v>
      </c>
      <c r="D100" s="4">
        <v>0.37859999999999999</v>
      </c>
    </row>
    <row r="101" spans="1:4" x14ac:dyDescent="0.3">
      <c r="A101" s="2" t="s">
        <v>41</v>
      </c>
      <c r="B101" s="3">
        <v>1818973</v>
      </c>
      <c r="C101" s="3">
        <v>671431</v>
      </c>
      <c r="D101" s="4">
        <v>0.36909999999999998</v>
      </c>
    </row>
    <row r="102" spans="1:4" x14ac:dyDescent="0.3">
      <c r="A102" s="2" t="s">
        <v>42</v>
      </c>
      <c r="B102" s="3">
        <v>1600157</v>
      </c>
      <c r="C102" s="3">
        <v>564604</v>
      </c>
      <c r="D102" s="4">
        <v>0.3528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 Drivers</vt:lpstr>
      <vt:lpstr>Impact Score</vt:lpstr>
      <vt:lpstr>Revenue Lost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Sivasubramaniyan C</dc:creator>
  <cp:lastModifiedBy>Sivasubramaniyan C</cp:lastModifiedBy>
  <dcterms:created xsi:type="dcterms:W3CDTF">2026-08-11T11:13:08Z</dcterms:created>
  <dcterms:modified xsi:type="dcterms:W3CDTF">2026-08-11T12:47:55Z</dcterms:modified>
</cp:coreProperties>
</file>